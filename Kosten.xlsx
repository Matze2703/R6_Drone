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TL_Anichstrasse\Werkstaette\R6_Drone\"/>
    </mc:Choice>
  </mc:AlternateContent>
  <xr:revisionPtr revIDLastSave="0" documentId="13_ncr:1_{96A39AFE-150F-4721-8052-D43A9349E913}" xr6:coauthVersionLast="47" xr6:coauthVersionMax="47" xr10:uidLastSave="{00000000-0000-0000-0000-000000000000}"/>
  <bookViews>
    <workbookView xWindow="-108" yWindow="-108" windowWidth="23256" windowHeight="12456" xr2:uid="{6DD5FD97-CAD3-4E1A-A256-A5B1796696A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1" l="1"/>
  <c r="E11" i="1"/>
  <c r="K11" i="1" s="1"/>
  <c r="E6" i="1"/>
  <c r="K6" i="1" s="1"/>
  <c r="E8" i="1"/>
  <c r="K8" i="1" s="1"/>
  <c r="F15" i="1"/>
  <c r="E4" i="1"/>
  <c r="G4" i="1" s="1"/>
  <c r="E5" i="1"/>
  <c r="K5" i="1" s="1"/>
  <c r="K3" i="1"/>
  <c r="G9" i="1"/>
  <c r="E7" i="1"/>
  <c r="K7" i="1" s="1"/>
  <c r="K9" i="1"/>
  <c r="G3" i="1"/>
  <c r="G8" i="1" l="1"/>
  <c r="K4" i="1"/>
  <c r="K15" i="1" s="1"/>
  <c r="G6" i="1"/>
  <c r="G5" i="1"/>
  <c r="G7" i="1"/>
  <c r="G15" i="1" l="1"/>
</calcChain>
</file>

<file path=xl/sharedStrings.xml><?xml version="1.0" encoding="utf-8"?>
<sst xmlns="http://schemas.openxmlformats.org/spreadsheetml/2006/main" count="29" uniqueCount="22">
  <si>
    <t>Bauteil</t>
  </si>
  <si>
    <t>Anzahl</t>
  </si>
  <si>
    <t>Stückkosten</t>
  </si>
  <si>
    <t>ESP-WROVER-DEV-MODULE</t>
  </si>
  <si>
    <t>Drohne</t>
  </si>
  <si>
    <t>Controller</t>
  </si>
  <si>
    <t>Bestellkosten</t>
  </si>
  <si>
    <t>OV2640 160° kamera</t>
  </si>
  <si>
    <t>INMP441 Mikrofon</t>
  </si>
  <si>
    <t>A4988 Stepperdriver</t>
  </si>
  <si>
    <t>NEMA 17 Steppermotor</t>
  </si>
  <si>
    <t>Stück gekauft</t>
  </si>
  <si>
    <t>Tatsächliche Ausgaben</t>
  </si>
  <si>
    <t>Kosten pro Drohne + Controller</t>
  </si>
  <si>
    <t>Mekanumräder</t>
  </si>
  <si>
    <t>?</t>
  </si>
  <si>
    <t>Buck-Converter</t>
  </si>
  <si>
    <t>RGB Streifen (10cm)</t>
  </si>
  <si>
    <t>Ist vorhanden</t>
  </si>
  <si>
    <t>11.1V LiPo 5200 mAh</t>
  </si>
  <si>
    <t>PS4 Controller</t>
  </si>
  <si>
    <t>Multi-Akku-Ladegeräat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</si>
</sst>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€&quot;\ #,##0.00"/>
    <numFmt numFmtId="165" formatCode="#,##0\ [$€-1];[Red]\-#,##0\ [$€-1]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theme="7" tint="0.79998168889431442"/>
      </patternFill>
    </fill>
    <fill>
      <patternFill patternType="solid">
        <fgColor theme="6" tint="0.39997558519241921"/>
        <bgColor theme="7" tint="0.79998168889431442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3" borderId="1" xfId="0" applyFill="1" applyBorder="1"/>
    <xf numFmtId="0" fontId="0" fillId="3" borderId="2" xfId="0" applyFill="1" applyBorder="1"/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3" borderId="4" xfId="0" applyFill="1" applyBorder="1"/>
    <xf numFmtId="0" fontId="0" fillId="3" borderId="5" xfId="0" applyFill="1" applyBorder="1"/>
    <xf numFmtId="164" fontId="0" fillId="3" borderId="5" xfId="0" applyNumberFormat="1" applyFill="1" applyBorder="1"/>
    <xf numFmtId="164" fontId="0" fillId="3" borderId="6" xfId="0" applyNumberFormat="1" applyFill="1" applyBorder="1"/>
    <xf numFmtId="0" fontId="0" fillId="0" borderId="4" xfId="0" applyBorder="1"/>
    <xf numFmtId="0" fontId="0" fillId="0" borderId="5" xfId="0" applyBorder="1"/>
    <xf numFmtId="164" fontId="0" fillId="0" borderId="5" xfId="0" applyNumberFormat="1" applyBorder="1"/>
    <xf numFmtId="164" fontId="0" fillId="0" borderId="6" xfId="0" applyNumberFormat="1" applyBorder="1"/>
    <xf numFmtId="164" fontId="2" fillId="3" borderId="2" xfId="0" applyNumberFormat="1" applyFont="1" applyFill="1" applyBorder="1"/>
    <xf numFmtId="164" fontId="2" fillId="3" borderId="3" xfId="0" applyNumberFormat="1" applyFont="1" applyFill="1" applyBorder="1"/>
    <xf numFmtId="0" fontId="0" fillId="0" borderId="5" xfId="0" applyBorder="1" applyAlignment="1">
      <alignment horizontal="center"/>
    </xf>
    <xf numFmtId="164" fontId="0" fillId="5" borderId="6" xfId="0" applyNumberFormat="1" applyFill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right"/>
    </xf>
    <xf numFmtId="164" fontId="0" fillId="0" borderId="5" xfId="0" applyNumberFormat="1" applyBorder="1" applyAlignment="1">
      <alignment horizontal="right"/>
    </xf>
    <xf numFmtId="164" fontId="0" fillId="5" borderId="6" xfId="0" applyNumberFormat="1" applyFill="1" applyBorder="1"/>
    <xf numFmtId="0" fontId="0" fillId="0" borderId="4" xfId="0" applyBorder="1" applyAlignment="1">
      <alignment horizontal="right"/>
    </xf>
    <xf numFmtId="0" fontId="1" fillId="2" borderId="0" xfId="0" applyFont="1" applyFill="1" applyAlignment="1">
      <alignment horizontal="center"/>
    </xf>
    <xf numFmtId="164" fontId="0" fillId="6" borderId="0" xfId="0" applyNumberFormat="1" applyFill="1"/>
    <xf numFmtId="164" fontId="0" fillId="7" borderId="0" xfId="0" applyNumberFormat="1" applyFill="1" applyAlignment="1">
      <alignment horizontal="center"/>
    </xf>
    <xf numFmtId="165" fontId="0" fillId="3" borderId="2" xfId="0" applyNumberFormat="1" applyFill="1" applyBorder="1" applyAlignment="1">
      <alignment horizontal="right"/>
    </xf>
    <xf numFmtId="164" fontId="0" fillId="3" borderId="3" xfId="0" applyNumberFormat="1" applyFill="1" applyBorder="1" applyAlignment="1">
      <alignment horizontal="right"/>
    </xf>
    <xf numFmtId="164" fontId="0" fillId="3" borderId="5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164" fontId="0" fillId="3" borderId="2" xfId="0" applyNumberFormat="1" applyFill="1" applyBorder="1"/>
    <xf numFmtId="0" fontId="0" fillId="3" borderId="1" xfId="0" applyFill="1" applyBorder="1" applyAlignment="1">
      <alignment horizontal="right"/>
    </xf>
    <xf numFmtId="0" fontId="0" fillId="5" borderId="1" xfId="0" applyFill="1" applyBorder="1"/>
    <xf numFmtId="164" fontId="2" fillId="5" borderId="3" xfId="0" applyNumberFormat="1" applyFont="1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0C87B-A7EA-4251-8D17-A69A75D7F344}">
  <dimension ref="B2:K15"/>
  <sheetViews>
    <sheetView tabSelected="1" workbookViewId="0">
      <selection activeCell="K10" sqref="K10"/>
    </sheetView>
  </sheetViews>
  <sheetFormatPr baseColWidth="10" defaultRowHeight="14.4" x14ac:dyDescent="0.3"/>
  <cols>
    <col min="1" max="1" width="6.88671875" customWidth="1"/>
    <col min="3" max="3" width="24.109375" bestFit="1" customWidth="1"/>
    <col min="4" max="4" width="11" bestFit="1" customWidth="1"/>
    <col min="5" max="5" width="20.44140625" bestFit="1" customWidth="1"/>
    <col min="6" max="6" width="16.77734375" bestFit="1" customWidth="1"/>
    <col min="7" max="7" width="29.6640625" customWidth="1"/>
    <col min="8" max="8" width="15.77734375" customWidth="1"/>
    <col min="9" max="9" width="11.5546875" customWidth="1"/>
    <col min="10" max="10" width="14.21875" customWidth="1"/>
    <col min="11" max="11" width="21.88671875" customWidth="1"/>
  </cols>
  <sheetData>
    <row r="2" spans="2:11" x14ac:dyDescent="0.3">
      <c r="C2" s="5" t="s">
        <v>0</v>
      </c>
      <c r="D2" s="6" t="s">
        <v>1</v>
      </c>
      <c r="E2" s="6" t="s">
        <v>2</v>
      </c>
      <c r="F2" s="6" t="s">
        <v>6</v>
      </c>
      <c r="G2" s="7" t="s">
        <v>13</v>
      </c>
      <c r="H2" s="25" t="s">
        <v>18</v>
      </c>
      <c r="I2" s="3"/>
      <c r="J2" s="5" t="s">
        <v>11</v>
      </c>
      <c r="K2" s="7" t="s">
        <v>12</v>
      </c>
    </row>
    <row r="3" spans="2:11" ht="15.6" x14ac:dyDescent="0.3">
      <c r="B3" s="4" t="s">
        <v>4</v>
      </c>
      <c r="C3" s="8" t="s">
        <v>3</v>
      </c>
      <c r="D3" s="9">
        <v>1</v>
      </c>
      <c r="E3" s="10">
        <v>11.09</v>
      </c>
      <c r="F3" s="10">
        <v>11.09</v>
      </c>
      <c r="G3" s="11">
        <f>D3*E3</f>
        <v>11.09</v>
      </c>
      <c r="H3" s="26"/>
      <c r="J3" s="8">
        <v>1</v>
      </c>
      <c r="K3" s="11">
        <f t="shared" ref="K3:K12" si="0">E3*J3</f>
        <v>11.09</v>
      </c>
    </row>
    <row r="4" spans="2:11" x14ac:dyDescent="0.3">
      <c r="C4" s="12" t="s">
        <v>7</v>
      </c>
      <c r="D4" s="13">
        <v>1</v>
      </c>
      <c r="E4" s="14">
        <f>16/2</f>
        <v>8</v>
      </c>
      <c r="F4" s="14">
        <v>16</v>
      </c>
      <c r="G4" s="15">
        <f>D4*E4</f>
        <v>8</v>
      </c>
      <c r="H4" s="26"/>
      <c r="J4" s="12">
        <v>2</v>
      </c>
      <c r="K4" s="15">
        <f t="shared" si="0"/>
        <v>16</v>
      </c>
    </row>
    <row r="5" spans="2:11" x14ac:dyDescent="0.3">
      <c r="C5" s="8" t="s">
        <v>8</v>
      </c>
      <c r="D5" s="9">
        <v>1</v>
      </c>
      <c r="E5" s="10">
        <f>13.1/5</f>
        <v>2.62</v>
      </c>
      <c r="F5" s="10">
        <v>13.1</v>
      </c>
      <c r="G5" s="11">
        <f t="shared" ref="G5:G9" si="1">D5*E5</f>
        <v>2.62</v>
      </c>
      <c r="H5" s="26"/>
      <c r="J5" s="8">
        <v>5</v>
      </c>
      <c r="K5" s="11">
        <f t="shared" si="0"/>
        <v>13.100000000000001</v>
      </c>
    </row>
    <row r="6" spans="2:11" x14ac:dyDescent="0.3">
      <c r="C6" s="12" t="s">
        <v>17</v>
      </c>
      <c r="D6" s="21">
        <v>1</v>
      </c>
      <c r="E6" s="22">
        <f>13.1/10</f>
        <v>1.31</v>
      </c>
      <c r="F6" s="22">
        <v>13.1</v>
      </c>
      <c r="G6" s="23">
        <f t="shared" si="1"/>
        <v>1.31</v>
      </c>
      <c r="H6" s="26"/>
      <c r="J6" s="24">
        <v>0</v>
      </c>
      <c r="K6" s="23">
        <f t="shared" si="0"/>
        <v>0</v>
      </c>
    </row>
    <row r="7" spans="2:11" x14ac:dyDescent="0.3">
      <c r="C7" s="8" t="s">
        <v>16</v>
      </c>
      <c r="D7" s="9">
        <v>1</v>
      </c>
      <c r="E7" s="10">
        <f>9.56/5</f>
        <v>1.9120000000000001</v>
      </c>
      <c r="F7" s="10">
        <v>9.56</v>
      </c>
      <c r="G7" s="11">
        <f t="shared" si="1"/>
        <v>1.9120000000000001</v>
      </c>
      <c r="H7" s="26"/>
      <c r="J7" s="8">
        <v>0</v>
      </c>
      <c r="K7" s="11">
        <f t="shared" si="0"/>
        <v>0</v>
      </c>
    </row>
    <row r="8" spans="2:11" x14ac:dyDescent="0.3">
      <c r="C8" s="12" t="s">
        <v>9</v>
      </c>
      <c r="D8" s="13">
        <v>2</v>
      </c>
      <c r="E8" s="14">
        <f>8.05/5</f>
        <v>1.61</v>
      </c>
      <c r="F8" s="14">
        <v>8.0500000000000007</v>
      </c>
      <c r="G8" s="15">
        <f>D8*E8</f>
        <v>3.22</v>
      </c>
      <c r="H8" s="26"/>
      <c r="J8" s="12">
        <v>0</v>
      </c>
      <c r="K8" s="15">
        <f t="shared" si="0"/>
        <v>0</v>
      </c>
    </row>
    <row r="9" spans="2:11" x14ac:dyDescent="0.3">
      <c r="C9" s="8" t="s">
        <v>10</v>
      </c>
      <c r="D9" s="9">
        <v>2</v>
      </c>
      <c r="E9" s="10">
        <v>14.11</v>
      </c>
      <c r="F9" s="10">
        <v>14.11</v>
      </c>
      <c r="G9" s="11">
        <f t="shared" si="1"/>
        <v>28.22</v>
      </c>
      <c r="H9" s="26"/>
      <c r="J9" s="8">
        <v>2</v>
      </c>
      <c r="K9" s="11">
        <f t="shared" si="0"/>
        <v>28.22</v>
      </c>
    </row>
    <row r="10" spans="2:11" x14ac:dyDescent="0.3">
      <c r="C10" s="12" t="s">
        <v>14</v>
      </c>
      <c r="D10" s="13">
        <v>2</v>
      </c>
      <c r="E10" s="18" t="s">
        <v>15</v>
      </c>
      <c r="F10" s="18" t="s">
        <v>15</v>
      </c>
      <c r="G10" s="20" t="s">
        <v>15</v>
      </c>
      <c r="H10" s="27"/>
      <c r="I10" s="3"/>
      <c r="J10" s="24">
        <v>0</v>
      </c>
      <c r="K10" s="19" t="s">
        <v>15</v>
      </c>
    </row>
    <row r="11" spans="2:11" x14ac:dyDescent="0.3">
      <c r="C11" s="1" t="s">
        <v>19</v>
      </c>
      <c r="D11" s="2">
        <v>1</v>
      </c>
      <c r="E11" s="32">
        <f>39/2</f>
        <v>19.5</v>
      </c>
      <c r="F11" s="28">
        <v>39</v>
      </c>
      <c r="G11" s="29">
        <v>19.5</v>
      </c>
      <c r="H11" s="26"/>
      <c r="I11" s="3"/>
      <c r="J11" s="33">
        <v>2</v>
      </c>
      <c r="K11" s="11">
        <f t="shared" si="0"/>
        <v>39</v>
      </c>
    </row>
    <row r="12" spans="2:11" x14ac:dyDescent="0.3">
      <c r="C12" s="12" t="s">
        <v>21</v>
      </c>
      <c r="D12" s="13">
        <v>1</v>
      </c>
      <c r="E12" s="14">
        <v>34</v>
      </c>
      <c r="F12" s="14">
        <v>34</v>
      </c>
      <c r="G12" s="14">
        <v>34</v>
      </c>
      <c r="H12" s="26"/>
      <c r="I12" s="3"/>
      <c r="J12" s="34">
        <v>1</v>
      </c>
      <c r="K12" s="35">
        <f>E12*J12</f>
        <v>34</v>
      </c>
    </row>
    <row r="14" spans="2:11" ht="15.6" x14ac:dyDescent="0.3">
      <c r="B14" s="4" t="s">
        <v>5</v>
      </c>
      <c r="C14" s="8" t="s">
        <v>20</v>
      </c>
      <c r="D14" s="9">
        <v>1</v>
      </c>
      <c r="E14" s="30" t="s">
        <v>15</v>
      </c>
      <c r="F14" s="30" t="s">
        <v>15</v>
      </c>
      <c r="G14" s="30" t="s">
        <v>15</v>
      </c>
      <c r="H14" s="26"/>
      <c r="J14" s="8">
        <v>0</v>
      </c>
      <c r="K14" s="31" t="s">
        <v>15</v>
      </c>
    </row>
    <row r="15" spans="2:11" x14ac:dyDescent="0.3">
      <c r="C15" s="1"/>
      <c r="D15" s="2"/>
      <c r="E15" s="2"/>
      <c r="F15" s="17">
        <f>SUM(F3:F14)</f>
        <v>158.01</v>
      </c>
      <c r="G15" s="16">
        <f>SUM(G3:G14)</f>
        <v>109.872</v>
      </c>
      <c r="J15" s="1"/>
      <c r="K15" s="17">
        <f>SUM(K3:K14)</f>
        <v>141.41</v>
      </c>
    </row>
  </sheetData>
  <pageMargins left="0.7" right="0.7" top="0.78740157499999996" bottom="0.78740157499999996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EXENBERGER Matthias, SchülerIn</dc:creator>
  <cp:lastModifiedBy>Exenberger Matthias, SchülerIn</cp:lastModifiedBy>
  <dcterms:created xsi:type="dcterms:W3CDTF">2025-03-05T15:49:46Z</dcterms:created>
  <dcterms:modified xsi:type="dcterms:W3CDTF">2025-04-02T13:31:00Z</dcterms:modified>
</cp:coreProperties>
</file>