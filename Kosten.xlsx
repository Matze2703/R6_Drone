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L_Anichstrasse\Werkstaette\R6_Drone_nogit\"/>
    </mc:Choice>
  </mc:AlternateContent>
  <xr:revisionPtr revIDLastSave="0" documentId="13_ncr:1_{CCB91909-92F5-432A-9340-A85A1C5553B1}" xr6:coauthVersionLast="47" xr6:coauthVersionMax="47" xr10:uidLastSave="{00000000-0000-0000-0000-000000000000}"/>
  <bookViews>
    <workbookView xWindow="-108" yWindow="-108" windowWidth="23256" windowHeight="12456" xr2:uid="{6DD5FD97-CAD3-4E1A-A256-A5B1796696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12" i="1"/>
  <c r="K11" i="1"/>
  <c r="K9" i="1"/>
  <c r="K8" i="1"/>
  <c r="K7" i="1"/>
  <c r="K4" i="1"/>
  <c r="K3" i="1"/>
  <c r="E11" i="1"/>
  <c r="E6" i="1"/>
  <c r="E8" i="1"/>
  <c r="F20" i="1"/>
  <c r="E4" i="1"/>
  <c r="G4" i="1" s="1"/>
  <c r="G9" i="1"/>
  <c r="G3" i="1"/>
  <c r="G8" i="1" l="1"/>
  <c r="K20" i="1"/>
  <c r="K22" i="1" s="1"/>
  <c r="G6" i="1"/>
  <c r="G7" i="1"/>
  <c r="G20" i="1" l="1"/>
</calcChain>
</file>

<file path=xl/sharedStrings.xml><?xml version="1.0" encoding="utf-8"?>
<sst xmlns="http://schemas.openxmlformats.org/spreadsheetml/2006/main" count="59" uniqueCount="28">
  <si>
    <t>Bauteil</t>
  </si>
  <si>
    <t>Anzahl</t>
  </si>
  <si>
    <t>Stückkosten</t>
  </si>
  <si>
    <t>ESP-WROVER-DEV-MODULE</t>
  </si>
  <si>
    <t>Drohne</t>
  </si>
  <si>
    <t>Controller</t>
  </si>
  <si>
    <t>Bestellkosten</t>
  </si>
  <si>
    <t>OV2640 160° kamera</t>
  </si>
  <si>
    <t>A4988 Stepperdriver</t>
  </si>
  <si>
    <t>NEMA 17 Steppermotor</t>
  </si>
  <si>
    <t>Tatsächliche Ausgaben</t>
  </si>
  <si>
    <t>Mekanumräder</t>
  </si>
  <si>
    <t>?</t>
  </si>
  <si>
    <t>RGB Streifen (10cm)</t>
  </si>
  <si>
    <t>Ist vorhanden</t>
  </si>
  <si>
    <t>11.1V LiPo 5200 mAh</t>
  </si>
  <si>
    <t>PS4 Controller</t>
  </si>
  <si>
    <t>100nF Keramik-Kondensatoren</t>
  </si>
  <si>
    <t>Bestellungen</t>
  </si>
  <si>
    <t>TSR-0-5-2450</t>
  </si>
  <si>
    <t>100uF ELKO</t>
  </si>
  <si>
    <t>theoretische Kosten pro Drohne + Controller</t>
  </si>
  <si>
    <t>Multi-Akku-Ladegerät</t>
  </si>
  <si>
    <t>Schraubklemmen 1x2</t>
  </si>
  <si>
    <t>Loot:</t>
  </si>
  <si>
    <t>ESP32-C3 Super Mini</t>
  </si>
  <si>
    <t>ESP32-C3</t>
  </si>
  <si>
    <t>Gyro-Sensor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</si>
</sst>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\ [$€-1];[Red]\-#,##0\ [$€-1]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6" tint="0.39997558519241921"/>
        <bgColor theme="7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164" fontId="0" fillId="3" borderId="5" xfId="0" applyNumberFormat="1" applyFill="1" applyBorder="1"/>
    <xf numFmtId="164" fontId="0" fillId="3" borderId="6" xfId="0" applyNumberFormat="1" applyFill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164" fontId="0" fillId="0" borderId="6" xfId="0" applyNumberFormat="1" applyBorder="1"/>
    <xf numFmtId="164" fontId="2" fillId="3" borderId="2" xfId="0" applyNumberFormat="1" applyFont="1" applyFill="1" applyBorder="1"/>
    <xf numFmtId="164" fontId="2" fillId="3" borderId="3" xfId="0" applyNumberFormat="1" applyFont="1" applyFill="1" applyBorder="1"/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5" borderId="6" xfId="0" applyNumberFormat="1" applyFill="1" applyBorder="1"/>
    <xf numFmtId="0" fontId="0" fillId="0" borderId="4" xfId="0" applyBorder="1" applyAlignment="1">
      <alignment horizontal="right"/>
    </xf>
    <xf numFmtId="0" fontId="1" fillId="2" borderId="0" xfId="0" applyFont="1" applyFill="1" applyAlignment="1">
      <alignment horizontal="center"/>
    </xf>
    <xf numFmtId="164" fontId="0" fillId="6" borderId="0" xfId="0" applyNumberFormat="1" applyFill="1"/>
    <xf numFmtId="164" fontId="0" fillId="7" borderId="0" xfId="0" applyNumberFormat="1" applyFill="1" applyAlignment="1">
      <alignment horizontal="center"/>
    </xf>
    <xf numFmtId="165" fontId="0" fillId="3" borderId="2" xfId="0" applyNumberFormat="1" applyFill="1" applyBorder="1" applyAlignment="1">
      <alignment horizontal="right"/>
    </xf>
    <xf numFmtId="164" fontId="0" fillId="3" borderId="3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2" xfId="0" applyNumberFormat="1" applyFill="1" applyBorder="1"/>
    <xf numFmtId="0" fontId="0" fillId="3" borderId="1" xfId="0" applyFill="1" applyBorder="1" applyAlignment="1">
      <alignment horizontal="right"/>
    </xf>
    <xf numFmtId="0" fontId="0" fillId="5" borderId="1" xfId="0" applyFill="1" applyBorder="1"/>
    <xf numFmtId="164" fontId="0" fillId="5" borderId="3" xfId="0" applyNumberFormat="1" applyFill="1" applyBorder="1"/>
    <xf numFmtId="164" fontId="0" fillId="3" borderId="2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/>
    <xf numFmtId="0" fontId="0" fillId="0" borderId="7" xfId="0" applyFill="1" applyBorder="1"/>
    <xf numFmtId="0" fontId="0" fillId="0" borderId="0" xfId="0" applyFill="1" applyBorder="1"/>
    <xf numFmtId="164" fontId="0" fillId="8" borderId="0" xfId="0" applyNumberForma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C87B-A7EA-4251-8D17-A69A75D7F344}">
  <dimension ref="B2:K22"/>
  <sheetViews>
    <sheetView tabSelected="1" zoomScale="104" workbookViewId="0">
      <selection activeCell="J20" sqref="J20"/>
    </sheetView>
  </sheetViews>
  <sheetFormatPr baseColWidth="10" defaultRowHeight="14.4" x14ac:dyDescent="0.3"/>
  <cols>
    <col min="1" max="1" width="6.88671875" customWidth="1"/>
    <col min="3" max="3" width="25.88671875" bestFit="1" customWidth="1"/>
    <col min="4" max="4" width="11" bestFit="1" customWidth="1"/>
    <col min="5" max="5" width="20.44140625" bestFit="1" customWidth="1"/>
    <col min="6" max="6" width="16.77734375" bestFit="1" customWidth="1"/>
    <col min="7" max="7" width="37.33203125" bestFit="1" customWidth="1"/>
    <col min="8" max="8" width="15.77734375" customWidth="1"/>
    <col min="9" max="9" width="11.5546875" customWidth="1"/>
    <col min="10" max="10" width="14.21875" customWidth="1"/>
    <col min="11" max="11" width="21.88671875" customWidth="1"/>
  </cols>
  <sheetData>
    <row r="2" spans="2:11" x14ac:dyDescent="0.3">
      <c r="C2" s="5" t="s">
        <v>0</v>
      </c>
      <c r="D2" s="6" t="s">
        <v>1</v>
      </c>
      <c r="E2" s="6" t="s">
        <v>2</v>
      </c>
      <c r="F2" s="6" t="s">
        <v>6</v>
      </c>
      <c r="G2" s="7" t="s">
        <v>21</v>
      </c>
      <c r="H2" s="24" t="s">
        <v>14</v>
      </c>
      <c r="I2" s="3"/>
      <c r="J2" s="5" t="s">
        <v>18</v>
      </c>
      <c r="K2" s="7" t="s">
        <v>10</v>
      </c>
    </row>
    <row r="3" spans="2:11" ht="15.6" x14ac:dyDescent="0.3">
      <c r="B3" s="4" t="s">
        <v>4</v>
      </c>
      <c r="C3" s="8" t="s">
        <v>3</v>
      </c>
      <c r="D3" s="9">
        <v>1</v>
      </c>
      <c r="E3" s="10">
        <v>11.09</v>
      </c>
      <c r="F3" s="10">
        <v>11.09</v>
      </c>
      <c r="G3" s="11">
        <f>D3*E3</f>
        <v>11.09</v>
      </c>
      <c r="H3" s="25"/>
      <c r="J3" s="8">
        <v>1</v>
      </c>
      <c r="K3" s="11">
        <f>F3*J3</f>
        <v>11.09</v>
      </c>
    </row>
    <row r="4" spans="2:11" x14ac:dyDescent="0.3">
      <c r="C4" s="12" t="s">
        <v>7</v>
      </c>
      <c r="D4" s="13">
        <v>1</v>
      </c>
      <c r="E4" s="14">
        <f>16/2</f>
        <v>8</v>
      </c>
      <c r="F4" s="14">
        <v>16</v>
      </c>
      <c r="G4" s="15">
        <f>D4*E4</f>
        <v>8</v>
      </c>
      <c r="H4" s="25"/>
      <c r="J4" s="12">
        <v>1</v>
      </c>
      <c r="K4" s="15">
        <f>F4*J4</f>
        <v>16</v>
      </c>
    </row>
    <row r="5" spans="2:11" x14ac:dyDescent="0.3">
      <c r="C5" s="8" t="s">
        <v>23</v>
      </c>
      <c r="D5" s="9">
        <v>3</v>
      </c>
      <c r="E5" s="29" t="s">
        <v>12</v>
      </c>
      <c r="F5" s="29" t="s">
        <v>12</v>
      </c>
      <c r="G5" s="30" t="s">
        <v>12</v>
      </c>
      <c r="H5" s="25"/>
      <c r="J5" s="8">
        <v>0</v>
      </c>
      <c r="K5" s="30" t="s">
        <v>12</v>
      </c>
    </row>
    <row r="6" spans="2:11" x14ac:dyDescent="0.3">
      <c r="C6" s="12" t="s">
        <v>13</v>
      </c>
      <c r="D6" s="20">
        <v>1</v>
      </c>
      <c r="E6" s="21">
        <f>13.1/10</f>
        <v>1.31</v>
      </c>
      <c r="F6" s="21">
        <v>13.1</v>
      </c>
      <c r="G6" s="22">
        <f t="shared" ref="G6:G9" si="0">D6*E6</f>
        <v>1.31</v>
      </c>
      <c r="H6" s="25"/>
      <c r="J6" s="23">
        <v>0</v>
      </c>
      <c r="K6" s="15">
        <f>F6*J6</f>
        <v>0</v>
      </c>
    </row>
    <row r="7" spans="2:11" x14ac:dyDescent="0.3">
      <c r="C7" s="8" t="s">
        <v>19</v>
      </c>
      <c r="D7" s="9">
        <v>1</v>
      </c>
      <c r="E7" s="10">
        <v>6</v>
      </c>
      <c r="F7" s="10">
        <v>6</v>
      </c>
      <c r="G7" s="11">
        <f t="shared" si="0"/>
        <v>6</v>
      </c>
      <c r="H7" s="25"/>
      <c r="J7" s="8">
        <v>1</v>
      </c>
      <c r="K7" s="11">
        <f>F7*J7</f>
        <v>6</v>
      </c>
    </row>
    <row r="8" spans="2:11" x14ac:dyDescent="0.3">
      <c r="C8" s="12" t="s">
        <v>8</v>
      </c>
      <c r="D8" s="13">
        <v>2</v>
      </c>
      <c r="E8" s="14">
        <f>8.05/5</f>
        <v>1.61</v>
      </c>
      <c r="F8" s="14">
        <v>8.0500000000000007</v>
      </c>
      <c r="G8" s="15">
        <f>D8*E8</f>
        <v>3.22</v>
      </c>
      <c r="H8" s="25"/>
      <c r="J8" s="12">
        <v>1</v>
      </c>
      <c r="K8" s="15">
        <f>F8*J8</f>
        <v>8.0500000000000007</v>
      </c>
    </row>
    <row r="9" spans="2:11" x14ac:dyDescent="0.3">
      <c r="C9" s="8" t="s">
        <v>9</v>
      </c>
      <c r="D9" s="9">
        <v>2</v>
      </c>
      <c r="E9" s="10">
        <v>14.11</v>
      </c>
      <c r="F9" s="10">
        <v>14.11</v>
      </c>
      <c r="G9" s="11">
        <f t="shared" si="0"/>
        <v>28.22</v>
      </c>
      <c r="H9" s="25"/>
      <c r="J9" s="8">
        <v>1</v>
      </c>
      <c r="K9" s="11">
        <f>F9*J9</f>
        <v>14.11</v>
      </c>
    </row>
    <row r="10" spans="2:11" x14ac:dyDescent="0.3">
      <c r="C10" s="12" t="s">
        <v>11</v>
      </c>
      <c r="D10" s="13">
        <v>2</v>
      </c>
      <c r="E10" s="18" t="s">
        <v>12</v>
      </c>
      <c r="F10" s="18" t="s">
        <v>12</v>
      </c>
      <c r="G10" s="19" t="s">
        <v>12</v>
      </c>
      <c r="H10" s="26"/>
      <c r="I10" s="3"/>
      <c r="J10" s="23">
        <v>0</v>
      </c>
      <c r="K10" s="19" t="s">
        <v>12</v>
      </c>
    </row>
    <row r="11" spans="2:11" x14ac:dyDescent="0.3">
      <c r="C11" s="1" t="s">
        <v>15</v>
      </c>
      <c r="D11" s="2">
        <v>1</v>
      </c>
      <c r="E11" s="31">
        <f>39/2</f>
        <v>19.5</v>
      </c>
      <c r="F11" s="27">
        <v>39</v>
      </c>
      <c r="G11" s="28">
        <v>19.5</v>
      </c>
      <c r="H11" s="25"/>
      <c r="I11" s="3"/>
      <c r="J11" s="32">
        <v>1</v>
      </c>
      <c r="K11" s="11">
        <f>F11*J11</f>
        <v>39</v>
      </c>
    </row>
    <row r="12" spans="2:11" x14ac:dyDescent="0.3">
      <c r="C12" s="12" t="s">
        <v>22</v>
      </c>
      <c r="D12" s="13">
        <v>1</v>
      </c>
      <c r="E12" s="14">
        <v>34</v>
      </c>
      <c r="F12" s="14">
        <v>34</v>
      </c>
      <c r="G12" s="14">
        <v>34</v>
      </c>
      <c r="H12" s="25"/>
      <c r="I12" s="3"/>
      <c r="J12" s="33">
        <v>1</v>
      </c>
      <c r="K12" s="34">
        <f>F12*J12</f>
        <v>34</v>
      </c>
    </row>
    <row r="13" spans="2:11" x14ac:dyDescent="0.3">
      <c r="C13" s="1" t="s">
        <v>20</v>
      </c>
      <c r="D13" s="2">
        <v>3</v>
      </c>
      <c r="E13" s="35" t="s">
        <v>12</v>
      </c>
      <c r="F13" s="36" t="s">
        <v>12</v>
      </c>
      <c r="G13" s="37" t="s">
        <v>12</v>
      </c>
      <c r="H13" s="25"/>
      <c r="J13" s="32">
        <v>0</v>
      </c>
      <c r="K13" s="38" t="s">
        <v>12</v>
      </c>
    </row>
    <row r="14" spans="2:11" x14ac:dyDescent="0.3">
      <c r="C14" s="12" t="s">
        <v>17</v>
      </c>
      <c r="D14" s="13">
        <v>3</v>
      </c>
      <c r="E14" s="18" t="s">
        <v>12</v>
      </c>
      <c r="F14" s="18" t="s">
        <v>12</v>
      </c>
      <c r="G14" s="19" t="s">
        <v>12</v>
      </c>
      <c r="H14" s="25"/>
      <c r="J14" s="23">
        <v>0</v>
      </c>
      <c r="K14" s="19" t="s">
        <v>12</v>
      </c>
    </row>
    <row r="15" spans="2:11" x14ac:dyDescent="0.3">
      <c r="C15" s="1" t="s">
        <v>25</v>
      </c>
      <c r="D15" s="2">
        <v>1</v>
      </c>
      <c r="E15" s="35" t="s">
        <v>12</v>
      </c>
      <c r="F15" s="36" t="s">
        <v>12</v>
      </c>
      <c r="G15" s="37" t="s">
        <v>12</v>
      </c>
      <c r="H15" s="43"/>
      <c r="J15" s="32">
        <v>0</v>
      </c>
      <c r="K15" s="38" t="s">
        <v>12</v>
      </c>
    </row>
    <row r="16" spans="2:11" x14ac:dyDescent="0.3">
      <c r="C16" s="41" t="s">
        <v>27</v>
      </c>
      <c r="D16" s="42">
        <v>1</v>
      </c>
      <c r="E16" s="18" t="s">
        <v>12</v>
      </c>
      <c r="F16" s="18" t="s">
        <v>12</v>
      </c>
      <c r="G16" s="19" t="s">
        <v>12</v>
      </c>
      <c r="H16" s="25"/>
      <c r="J16" s="23">
        <v>0</v>
      </c>
      <c r="K16" s="19" t="s">
        <v>12</v>
      </c>
    </row>
    <row r="18" spans="2:11" ht="15.6" x14ac:dyDescent="0.3">
      <c r="B18" s="4" t="s">
        <v>5</v>
      </c>
      <c r="C18" s="8" t="s">
        <v>16</v>
      </c>
      <c r="D18" s="9">
        <v>1</v>
      </c>
      <c r="E18" s="29" t="s">
        <v>12</v>
      </c>
      <c r="F18" s="29" t="s">
        <v>12</v>
      </c>
      <c r="G18" s="29" t="s">
        <v>12</v>
      </c>
      <c r="H18" s="25"/>
      <c r="J18" s="8">
        <v>0</v>
      </c>
      <c r="K18" s="30" t="s">
        <v>12</v>
      </c>
    </row>
    <row r="19" spans="2:11" x14ac:dyDescent="0.3">
      <c r="C19" t="s">
        <v>26</v>
      </c>
      <c r="D19">
        <v>1</v>
      </c>
      <c r="E19" s="18" t="s">
        <v>12</v>
      </c>
      <c r="F19" s="18" t="s">
        <v>12</v>
      </c>
      <c r="G19" s="18" t="s">
        <v>12</v>
      </c>
      <c r="H19" s="25"/>
      <c r="J19">
        <v>0</v>
      </c>
      <c r="K19" s="19" t="s">
        <v>12</v>
      </c>
    </row>
    <row r="20" spans="2:11" x14ac:dyDescent="0.3">
      <c r="C20" s="1"/>
      <c r="D20" s="2"/>
      <c r="E20" s="2"/>
      <c r="F20" s="17">
        <f>SUM(F3:F18)</f>
        <v>141.35</v>
      </c>
      <c r="G20" s="16">
        <f>SUM(G3:G18)</f>
        <v>111.34</v>
      </c>
      <c r="J20" s="1"/>
      <c r="K20" s="17">
        <f>SUM(K3:K18)</f>
        <v>128.25</v>
      </c>
    </row>
    <row r="22" spans="2:11" x14ac:dyDescent="0.3">
      <c r="J22" s="39" t="s">
        <v>24</v>
      </c>
      <c r="K22" s="40">
        <f>F20-K20</f>
        <v>13.099999999999994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EXENBERGER Matthias, SchülerIn</dc:creator>
  <cp:lastModifiedBy>EXENBERGER Matthias, SchülerIn</cp:lastModifiedBy>
  <dcterms:created xsi:type="dcterms:W3CDTF">2025-03-05T15:49:46Z</dcterms:created>
  <dcterms:modified xsi:type="dcterms:W3CDTF">2026-04-08T15:05:25Z</dcterms:modified>
</cp:coreProperties>
</file>